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ynnlucca/Documents/Grundpraktikum-1/GP2/Versuch_012/"/>
    </mc:Choice>
  </mc:AlternateContent>
  <xr:revisionPtr revIDLastSave="0" documentId="13_ncr:1_{75B7FF5A-D6FA-344D-AC38-3B669985D7AB}" xr6:coauthVersionLast="47" xr6:coauthVersionMax="47" xr10:uidLastSave="{00000000-0000-0000-0000-000000000000}"/>
  <bookViews>
    <workbookView xWindow="0" yWindow="660" windowWidth="34560" windowHeight="21680" xr2:uid="{E7F5CE97-9C9F-804E-83B2-14B69BDA006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  <c r="E44" i="1"/>
  <c r="E43" i="1"/>
  <c r="E42" i="1"/>
  <c r="E41" i="1"/>
  <c r="E40" i="1"/>
  <c r="E39" i="1"/>
  <c r="E38" i="1"/>
  <c r="W12" i="1"/>
  <c r="W13" i="1"/>
  <c r="W14" i="1"/>
  <c r="W15" i="1"/>
  <c r="W16" i="1"/>
  <c r="W11" i="1"/>
  <c r="N12" i="1"/>
  <c r="N13" i="1"/>
  <c r="N11" i="1"/>
  <c r="E12" i="1"/>
  <c r="E13" i="1"/>
  <c r="E11" i="1"/>
</calcChain>
</file>

<file path=xl/sharedStrings.xml><?xml version="1.0" encoding="utf-8"?>
<sst xmlns="http://schemas.openxmlformats.org/spreadsheetml/2006/main" count="52" uniqueCount="38">
  <si>
    <t>Versuch O12</t>
  </si>
  <si>
    <t>359° 30' + 5' 38'' = 359,5939 °</t>
  </si>
  <si>
    <t>Messen für Grüne Linie Ordnung 1-3</t>
  </si>
  <si>
    <t>Ordnungszahl</t>
  </si>
  <si>
    <t>60° 5' 26''</t>
  </si>
  <si>
    <t>Lila:</t>
  </si>
  <si>
    <t>Ordnung</t>
  </si>
  <si>
    <t>Messung 1</t>
  </si>
  <si>
    <t>Korrekturwinkel:</t>
  </si>
  <si>
    <t>0. Ordnung:</t>
  </si>
  <si>
    <t>Gelb:</t>
  </si>
  <si>
    <t>1_1</t>
  </si>
  <si>
    <t>1_2</t>
  </si>
  <si>
    <t>2_1</t>
  </si>
  <si>
    <t>2_2</t>
  </si>
  <si>
    <t>3_1</t>
  </si>
  <si>
    <t>3_2</t>
  </si>
  <si>
    <t>Natriumlampe Messung 2</t>
  </si>
  <si>
    <t>Quecksilber</t>
  </si>
  <si>
    <t xml:space="preserve">359° 35' 34'' </t>
  </si>
  <si>
    <t>359,5928°</t>
  </si>
  <si>
    <t>0. Ordnung</t>
  </si>
  <si>
    <t>Gesamt</t>
  </si>
  <si>
    <t>Grad[°]</t>
  </si>
  <si>
    <t>Minuten [']</t>
  </si>
  <si>
    <t>Sekunden['']</t>
  </si>
  <si>
    <t>Minuten[']</t>
  </si>
  <si>
    <t>60° 6' 28''</t>
  </si>
  <si>
    <t>60,1078°</t>
  </si>
  <si>
    <t>4 Dubletts</t>
  </si>
  <si>
    <t>Blau_1</t>
  </si>
  <si>
    <t>Blau_2</t>
  </si>
  <si>
    <t>Grün_1</t>
  </si>
  <si>
    <t>Grün_2</t>
  </si>
  <si>
    <t>Rot_1</t>
  </si>
  <si>
    <t>Rot_2</t>
  </si>
  <si>
    <t>Orange_1</t>
  </si>
  <si>
    <t>Orange_2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</si>
</sst>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D3585-A123-0942-9DA3-F454D7954287}">
  <dimension ref="A2:W45"/>
  <sheetViews>
    <sheetView tabSelected="1" zoomScale="91" workbookViewId="0">
      <selection activeCell="J25" sqref="J25"/>
    </sheetView>
  </sheetViews>
  <sheetFormatPr baseColWidth="10" defaultRowHeight="16" x14ac:dyDescent="0.2"/>
  <sheetData>
    <row r="2" spans="1:23" x14ac:dyDescent="0.2">
      <c r="A2" t="s">
        <v>0</v>
      </c>
    </row>
    <row r="3" spans="1:23" x14ac:dyDescent="0.2">
      <c r="A3" t="s">
        <v>7</v>
      </c>
      <c r="B3" t="s">
        <v>18</v>
      </c>
    </row>
    <row r="4" spans="1:23" x14ac:dyDescent="0.2">
      <c r="A4" t="s">
        <v>8</v>
      </c>
      <c r="C4" t="s">
        <v>1</v>
      </c>
    </row>
    <row r="6" spans="1:23" x14ac:dyDescent="0.2">
      <c r="A6" t="s">
        <v>9</v>
      </c>
      <c r="C6" t="s">
        <v>4</v>
      </c>
    </row>
    <row r="8" spans="1:23" x14ac:dyDescent="0.2">
      <c r="A8" t="s">
        <v>2</v>
      </c>
    </row>
    <row r="9" spans="1:23" x14ac:dyDescent="0.2">
      <c r="J9" t="s">
        <v>5</v>
      </c>
      <c r="S9" t="s">
        <v>10</v>
      </c>
    </row>
    <row r="10" spans="1:23" x14ac:dyDescent="0.2">
      <c r="A10" t="s">
        <v>3</v>
      </c>
      <c r="B10" t="s">
        <v>23</v>
      </c>
      <c r="C10" t="s">
        <v>24</v>
      </c>
      <c r="D10" t="s">
        <v>25</v>
      </c>
      <c r="E10" t="s">
        <v>22</v>
      </c>
      <c r="J10" t="s">
        <v>6</v>
      </c>
      <c r="K10" t="s">
        <v>23</v>
      </c>
      <c r="L10" t="s">
        <v>26</v>
      </c>
      <c r="M10" t="s">
        <v>25</v>
      </c>
      <c r="N10" t="s">
        <v>22</v>
      </c>
      <c r="S10" t="s">
        <v>6</v>
      </c>
      <c r="T10" t="s">
        <v>23</v>
      </c>
      <c r="U10" t="s">
        <v>26</v>
      </c>
      <c r="V10" t="s">
        <v>25</v>
      </c>
      <c r="W10" t="s">
        <v>22</v>
      </c>
    </row>
    <row r="11" spans="1:23" x14ac:dyDescent="0.2">
      <c r="A11">
        <v>1</v>
      </c>
      <c r="B11">
        <v>89</v>
      </c>
      <c r="C11">
        <v>16</v>
      </c>
      <c r="D11">
        <v>8</v>
      </c>
      <c r="E11">
        <f>B11+C11/60 + D11/3600</f>
        <v>89.268888888888881</v>
      </c>
      <c r="J11">
        <v>1</v>
      </c>
      <c r="K11">
        <v>84</v>
      </c>
      <c r="L11">
        <v>22</v>
      </c>
      <c r="M11">
        <v>6</v>
      </c>
      <c r="N11">
        <f>K11 + L11/60 + M11/3600</f>
        <v>84.368333333333325</v>
      </c>
      <c r="S11" s="1" t="s">
        <v>11</v>
      </c>
      <c r="T11">
        <v>90</v>
      </c>
      <c r="U11">
        <v>36</v>
      </c>
      <c r="V11">
        <v>50</v>
      </c>
      <c r="W11">
        <f>T11+U11/60 +V11/3600</f>
        <v>90.61388888888888</v>
      </c>
    </row>
    <row r="12" spans="1:23" x14ac:dyDescent="0.2">
      <c r="A12">
        <v>2</v>
      </c>
      <c r="B12">
        <v>111</v>
      </c>
      <c r="C12">
        <v>3</v>
      </c>
      <c r="D12">
        <v>20</v>
      </c>
      <c r="E12">
        <f t="shared" ref="E12:E13" si="0">B12+C12/60 + D12/3600</f>
        <v>111.05555555555556</v>
      </c>
      <c r="J12">
        <v>2</v>
      </c>
      <c r="K12">
        <v>102</v>
      </c>
      <c r="L12">
        <v>35</v>
      </c>
      <c r="M12">
        <v>26</v>
      </c>
      <c r="N12">
        <f t="shared" ref="N12:N13" si="1">K12 + L12/60 + M12/3600</f>
        <v>102.59055555555555</v>
      </c>
      <c r="S12" t="s">
        <v>12</v>
      </c>
      <c r="T12">
        <v>90</v>
      </c>
      <c r="U12">
        <v>42</v>
      </c>
      <c r="V12">
        <v>48</v>
      </c>
      <c r="W12">
        <f t="shared" ref="W12:W16" si="2">T12+U12/60 +V12/3600</f>
        <v>90.713333333333338</v>
      </c>
    </row>
    <row r="13" spans="1:23" x14ac:dyDescent="0.2">
      <c r="A13">
        <v>3</v>
      </c>
      <c r="B13">
        <v>131</v>
      </c>
      <c r="C13">
        <v>31</v>
      </c>
      <c r="D13">
        <v>6</v>
      </c>
      <c r="E13">
        <f t="shared" si="0"/>
        <v>131.51833333333335</v>
      </c>
      <c r="J13">
        <v>3</v>
      </c>
      <c r="K13">
        <v>119</v>
      </c>
      <c r="L13">
        <v>6</v>
      </c>
      <c r="M13">
        <v>40</v>
      </c>
      <c r="N13">
        <f t="shared" si="1"/>
        <v>119.1111111111111</v>
      </c>
      <c r="S13" t="s">
        <v>13</v>
      </c>
      <c r="T13">
        <v>113</v>
      </c>
      <c r="U13">
        <v>22</v>
      </c>
      <c r="V13">
        <v>48</v>
      </c>
      <c r="W13">
        <f t="shared" si="2"/>
        <v>113.38</v>
      </c>
    </row>
    <row r="14" spans="1:23" x14ac:dyDescent="0.2">
      <c r="S14" t="s">
        <v>14</v>
      </c>
      <c r="T14">
        <v>113</v>
      </c>
      <c r="U14">
        <v>32</v>
      </c>
      <c r="V14">
        <v>48</v>
      </c>
      <c r="W14">
        <f t="shared" si="2"/>
        <v>113.54666666666667</v>
      </c>
    </row>
    <row r="15" spans="1:23" x14ac:dyDescent="0.2">
      <c r="S15" t="s">
        <v>15</v>
      </c>
      <c r="T15">
        <v>135</v>
      </c>
      <c r="U15">
        <v>5</v>
      </c>
      <c r="V15">
        <v>30</v>
      </c>
      <c r="W15">
        <f t="shared" si="2"/>
        <v>135.09166666666667</v>
      </c>
    </row>
    <row r="16" spans="1:23" x14ac:dyDescent="0.2">
      <c r="S16" t="s">
        <v>16</v>
      </c>
      <c r="T16">
        <v>135</v>
      </c>
      <c r="U16">
        <v>19</v>
      </c>
      <c r="V16">
        <v>46</v>
      </c>
      <c r="W16">
        <f t="shared" si="2"/>
        <v>135.32944444444445</v>
      </c>
    </row>
    <row r="27" spans="1:4" x14ac:dyDescent="0.2">
      <c r="A27" t="s">
        <v>17</v>
      </c>
    </row>
    <row r="30" spans="1:4" x14ac:dyDescent="0.2">
      <c r="A30" t="s">
        <v>8</v>
      </c>
      <c r="C30" t="s">
        <v>19</v>
      </c>
      <c r="D30" t="s">
        <v>20</v>
      </c>
    </row>
    <row r="32" spans="1:4" x14ac:dyDescent="0.2">
      <c r="A32" t="s">
        <v>21</v>
      </c>
      <c r="C32" t="s">
        <v>27</v>
      </c>
      <c r="D32" t="s">
        <v>28</v>
      </c>
    </row>
    <row r="35" spans="1:5" x14ac:dyDescent="0.2">
      <c r="A35" t="s">
        <v>29</v>
      </c>
    </row>
    <row r="37" spans="1:5" x14ac:dyDescent="0.2">
      <c r="A37" t="s">
        <v>6</v>
      </c>
      <c r="B37" t="s">
        <v>23</v>
      </c>
      <c r="C37" t="s">
        <v>26</v>
      </c>
      <c r="D37" t="s">
        <v>25</v>
      </c>
      <c r="E37" t="s">
        <v>22</v>
      </c>
    </row>
    <row r="38" spans="1:5" x14ac:dyDescent="0.2">
      <c r="A38" t="s">
        <v>30</v>
      </c>
      <c r="B38">
        <v>87</v>
      </c>
      <c r="C38">
        <v>16</v>
      </c>
      <c r="D38">
        <v>28</v>
      </c>
      <c r="E38">
        <f>B38+C38/60+D38/3600</f>
        <v>87.274444444444441</v>
      </c>
    </row>
    <row r="39" spans="1:5" x14ac:dyDescent="0.2">
      <c r="A39" t="s">
        <v>31</v>
      </c>
      <c r="B39">
        <v>87</v>
      </c>
      <c r="C39">
        <v>17</v>
      </c>
      <c r="D39">
        <v>32</v>
      </c>
      <c r="E39">
        <f>B39+C39/60+D39/3600</f>
        <v>87.292222222222222</v>
      </c>
    </row>
    <row r="40" spans="1:5" x14ac:dyDescent="0.2">
      <c r="A40" t="s">
        <v>32</v>
      </c>
      <c r="B40">
        <v>90</v>
      </c>
      <c r="C40">
        <v>21</v>
      </c>
      <c r="D40">
        <v>22</v>
      </c>
      <c r="E40">
        <f>B40+C40/60+D40/3600</f>
        <v>90.356111111111105</v>
      </c>
    </row>
    <row r="41" spans="1:5" x14ac:dyDescent="0.2">
      <c r="A41" t="s">
        <v>33</v>
      </c>
      <c r="B41">
        <v>90</v>
      </c>
      <c r="C41">
        <v>22</v>
      </c>
      <c r="D41">
        <v>36</v>
      </c>
      <c r="E41">
        <f>B41+C41/60+D41/3600</f>
        <v>90.376666666666665</v>
      </c>
    </row>
    <row r="42" spans="1:5" x14ac:dyDescent="0.2">
      <c r="A42" t="s">
        <v>36</v>
      </c>
      <c r="B42">
        <v>91</v>
      </c>
      <c r="C42">
        <v>14</v>
      </c>
      <c r="D42">
        <v>18</v>
      </c>
      <c r="E42">
        <f>B42+C42/60+D42/3600</f>
        <v>91.23833333333333</v>
      </c>
    </row>
    <row r="43" spans="1:5" x14ac:dyDescent="0.2">
      <c r="A43" t="s">
        <v>37</v>
      </c>
      <c r="B43">
        <v>91</v>
      </c>
      <c r="C43">
        <v>15</v>
      </c>
      <c r="D43">
        <v>28</v>
      </c>
      <c r="E43">
        <f>B43+C43/60+D43/3600</f>
        <v>91.257777777777775</v>
      </c>
    </row>
    <row r="44" spans="1:5" x14ac:dyDescent="0.2">
      <c r="A44" t="s">
        <v>34</v>
      </c>
      <c r="B44">
        <v>92</v>
      </c>
      <c r="C44">
        <v>21</v>
      </c>
      <c r="D44">
        <v>28</v>
      </c>
      <c r="E44">
        <f>B44+C44/60+D44/3600</f>
        <v>92.35777777777777</v>
      </c>
    </row>
    <row r="45" spans="1:5" x14ac:dyDescent="0.2">
      <c r="A45" t="s">
        <v>35</v>
      </c>
      <c r="B45">
        <v>92</v>
      </c>
      <c r="C45">
        <v>22</v>
      </c>
      <c r="D45">
        <v>48</v>
      </c>
      <c r="E45">
        <f>B45+C45/60+D45/3600</f>
        <v>92.38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Fynn Lucca Kanja</dc:creator>
  <cp:lastModifiedBy>Fynn Lucca Kanja</cp:lastModifiedBy>
  <dcterms:created xsi:type="dcterms:W3CDTF">2025-10-24T07:18:48Z</dcterms:created>
  <dcterms:modified xsi:type="dcterms:W3CDTF">2025-10-24T08:59:53Z</dcterms:modified>
</cp:coreProperties>
</file>