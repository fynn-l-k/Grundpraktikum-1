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1799d184623f23/Desktop/Universität/Grundpraktikum-1/FPrak/Zeemann/"/>
    </mc:Choice>
  </mc:AlternateContent>
  <xr:revisionPtr revIDLastSave="57" documentId="13_ncr:1_{AD1FC0CF-B972-EB4D-B5DE-15A96AE77AA5}" xr6:coauthVersionLast="47" xr6:coauthVersionMax="47" xr10:uidLastSave="{CBB067F3-1EA7-4F3F-A555-0688ED6B2AD6}"/>
  <bookViews>
    <workbookView xWindow="29130" yWindow="0" windowWidth="9360" windowHeight="20970" xr2:uid="{0DB0F654-E22D-D249-A523-4CBE440F96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2" i="1"/>
  <c r="D13" i="1"/>
  <c r="D14" i="1"/>
  <c r="D15" i="1"/>
  <c r="D16" i="1"/>
  <c r="D17" i="1"/>
  <c r="D18" i="1"/>
  <c r="D19" i="1"/>
  <c r="D20" i="1"/>
  <c r="D10" i="1"/>
  <c r="C11" i="1"/>
  <c r="C12" i="1"/>
  <c r="C13" i="1"/>
  <c r="C14" i="1"/>
  <c r="C15" i="1"/>
  <c r="C16" i="1"/>
  <c r="C17" i="1"/>
  <c r="C18" i="1"/>
  <c r="C19" i="1"/>
  <c r="C20" i="1"/>
  <c r="C10" i="1"/>
</calcChain>
</file>

<file path=xl/sharedStrings.xml><?xml version="1.0" encoding="utf-8"?>
<sst xmlns="http://schemas.openxmlformats.org/spreadsheetml/2006/main" count="7" uniqueCount="7">
  <si>
    <t>Zeemann Effekt Versuch</t>
  </si>
  <si>
    <t>Aufgabe 1</t>
  </si>
  <si>
    <t>Kalibrierung des Magentfeldes</t>
  </si>
  <si>
    <t>I[A]</t>
  </si>
  <si>
    <t>B[mT]</t>
  </si>
  <si>
    <t>Abweichung</t>
  </si>
  <si>
    <t>Fit [mT]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</si>
</sst>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4EBC0-98E4-104E-BA8F-34E992D06032}">
  <dimension ref="A3:K28"/>
  <sheetViews>
    <sheetView tabSelected="1" topLeftCell="F1" workbookViewId="0">
      <selection activeCell="B24" sqref="B24:K28"/>
    </sheetView>
  </sheetViews>
  <sheetFormatPr baseColWidth="10" defaultRowHeight="16" x14ac:dyDescent="0.4"/>
  <sheetData>
    <row r="3" spans="1:4" x14ac:dyDescent="0.4">
      <c r="A3" t="s">
        <v>0</v>
      </c>
    </row>
    <row r="5" spans="1:4" x14ac:dyDescent="0.4">
      <c r="A5" t="s">
        <v>1</v>
      </c>
    </row>
    <row r="6" spans="1:4" x14ac:dyDescent="0.4">
      <c r="A6" t="s">
        <v>2</v>
      </c>
    </row>
    <row r="9" spans="1:4" x14ac:dyDescent="0.4">
      <c r="A9" t="s">
        <v>3</v>
      </c>
      <c r="B9" t="s">
        <v>4</v>
      </c>
      <c r="C9" t="s">
        <v>6</v>
      </c>
      <c r="D9" t="s">
        <v>5</v>
      </c>
    </row>
    <row r="10" spans="1:4" x14ac:dyDescent="0.4">
      <c r="A10">
        <v>0</v>
      </c>
      <c r="B10">
        <v>9</v>
      </c>
      <c r="C10">
        <f>78.06*A10+17.49</f>
        <v>17.489999999999998</v>
      </c>
      <c r="D10">
        <f>ABS(B10-C10)/B10 * 100</f>
        <v>94.333333333333314</v>
      </c>
    </row>
    <row r="11" spans="1:4" x14ac:dyDescent="0.4">
      <c r="A11">
        <v>1</v>
      </c>
      <c r="B11">
        <v>88</v>
      </c>
      <c r="C11">
        <f t="shared" ref="C11:C20" si="0">78.06*A11+17.49</f>
        <v>95.55</v>
      </c>
      <c r="D11">
        <f t="shared" ref="D11:D20" si="1">ABS(B11-C11)/B11 * 100</f>
        <v>8.5795454545454515</v>
      </c>
    </row>
    <row r="12" spans="1:4" x14ac:dyDescent="0.4">
      <c r="A12">
        <v>2</v>
      </c>
      <c r="B12">
        <v>163</v>
      </c>
      <c r="C12">
        <f t="shared" si="0"/>
        <v>173.61</v>
      </c>
      <c r="D12">
        <f t="shared" si="1"/>
        <v>6.5092024539877391</v>
      </c>
    </row>
    <row r="13" spans="1:4" x14ac:dyDescent="0.4">
      <c r="A13">
        <v>3</v>
      </c>
      <c r="B13">
        <v>244</v>
      </c>
      <c r="C13">
        <f t="shared" si="0"/>
        <v>251.67000000000002</v>
      </c>
      <c r="D13">
        <f t="shared" si="1"/>
        <v>3.1434426229508263</v>
      </c>
    </row>
    <row r="14" spans="1:4" x14ac:dyDescent="0.4">
      <c r="A14">
        <v>4</v>
      </c>
      <c r="B14">
        <v>334</v>
      </c>
      <c r="C14">
        <f t="shared" si="0"/>
        <v>329.73</v>
      </c>
      <c r="D14">
        <f t="shared" si="1"/>
        <v>1.2784431137724495</v>
      </c>
    </row>
    <row r="15" spans="1:4" x14ac:dyDescent="0.4">
      <c r="A15">
        <v>5</v>
      </c>
      <c r="B15">
        <v>413</v>
      </c>
      <c r="C15">
        <f t="shared" si="0"/>
        <v>407.79</v>
      </c>
      <c r="D15">
        <f t="shared" si="1"/>
        <v>1.261501210653748</v>
      </c>
    </row>
    <row r="16" spans="1:4" x14ac:dyDescent="0.4">
      <c r="A16">
        <v>6</v>
      </c>
      <c r="B16">
        <v>497</v>
      </c>
      <c r="C16">
        <f t="shared" si="0"/>
        <v>485.85</v>
      </c>
      <c r="D16">
        <f t="shared" si="1"/>
        <v>2.2434607645875206</v>
      </c>
    </row>
    <row r="17" spans="1:11" x14ac:dyDescent="0.4">
      <c r="A17">
        <v>7</v>
      </c>
      <c r="B17">
        <v>579</v>
      </c>
      <c r="C17">
        <f t="shared" si="0"/>
        <v>563.91000000000008</v>
      </c>
      <c r="D17">
        <f t="shared" si="1"/>
        <v>2.6062176165802966</v>
      </c>
    </row>
    <row r="18" spans="1:11" x14ac:dyDescent="0.4">
      <c r="A18">
        <v>8</v>
      </c>
      <c r="B18">
        <v>655</v>
      </c>
      <c r="C18">
        <f t="shared" si="0"/>
        <v>641.97</v>
      </c>
      <c r="D18">
        <f t="shared" si="1"/>
        <v>1.9893129770992324</v>
      </c>
    </row>
    <row r="19" spans="1:11" x14ac:dyDescent="0.4">
      <c r="A19">
        <v>9</v>
      </c>
      <c r="B19">
        <v>715</v>
      </c>
      <c r="C19">
        <f t="shared" si="0"/>
        <v>720.03</v>
      </c>
      <c r="D19">
        <f t="shared" si="1"/>
        <v>0.70349650349649973</v>
      </c>
    </row>
    <row r="20" spans="1:11" x14ac:dyDescent="0.4">
      <c r="A20">
        <v>10</v>
      </c>
      <c r="B20">
        <v>769</v>
      </c>
      <c r="C20">
        <f t="shared" si="0"/>
        <v>798.09</v>
      </c>
      <c r="D20">
        <f t="shared" si="1"/>
        <v>3.7828348504551403</v>
      </c>
    </row>
    <row r="24" spans="1:11" x14ac:dyDescent="0.4"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J24">
        <v>9</v>
      </c>
      <c r="K24">
        <v>10</v>
      </c>
    </row>
    <row r="25" spans="1:11" x14ac:dyDescent="0.4">
      <c r="B25">
        <v>1.1000000000000001</v>
      </c>
      <c r="C25">
        <v>122</v>
      </c>
      <c r="D25">
        <v>121</v>
      </c>
      <c r="E25">
        <v>117</v>
      </c>
      <c r="F25">
        <v>114</v>
      </c>
      <c r="G25">
        <v>111</v>
      </c>
      <c r="H25">
        <v>107</v>
      </c>
      <c r="I25">
        <v>105</v>
      </c>
      <c r="J25">
        <v>102</v>
      </c>
      <c r="K25">
        <v>98</v>
      </c>
    </row>
    <row r="26" spans="1:11" x14ac:dyDescent="0.4">
      <c r="B26">
        <v>3.1</v>
      </c>
      <c r="C26">
        <v>136</v>
      </c>
      <c r="D26">
        <v>138</v>
      </c>
      <c r="E26">
        <v>140</v>
      </c>
      <c r="F26">
        <v>143</v>
      </c>
      <c r="G26">
        <v>146</v>
      </c>
      <c r="H26">
        <v>150</v>
      </c>
      <c r="I26">
        <v>152</v>
      </c>
      <c r="J26">
        <v>154</v>
      </c>
      <c r="K26">
        <v>156</v>
      </c>
    </row>
    <row r="27" spans="1:11" x14ac:dyDescent="0.4">
      <c r="B27">
        <v>1.2</v>
      </c>
      <c r="C27">
        <v>224</v>
      </c>
      <c r="D27">
        <v>222</v>
      </c>
      <c r="E27">
        <v>220</v>
      </c>
      <c r="F27">
        <v>218</v>
      </c>
      <c r="G27">
        <v>216</v>
      </c>
      <c r="H27">
        <v>214</v>
      </c>
      <c r="I27">
        <v>213</v>
      </c>
      <c r="J27">
        <v>211</v>
      </c>
      <c r="K27">
        <v>210</v>
      </c>
    </row>
    <row r="28" spans="1:11" x14ac:dyDescent="0.4">
      <c r="B28">
        <v>3.2</v>
      </c>
      <c r="C28">
        <v>229</v>
      </c>
      <c r="D28">
        <v>231</v>
      </c>
      <c r="E28">
        <v>233</v>
      </c>
      <c r="F28">
        <v>235</v>
      </c>
      <c r="G28">
        <v>238</v>
      </c>
      <c r="H28">
        <v>239</v>
      </c>
      <c r="I28">
        <v>241</v>
      </c>
      <c r="J28">
        <v>241</v>
      </c>
      <c r="K28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Fynn Lucca Kanja</dc:creator>
  <cp:lastModifiedBy>Valentino D'Agosto</cp:lastModifiedBy>
  <dcterms:created xsi:type="dcterms:W3CDTF">2026-04-14T07:06:39Z</dcterms:created>
  <dcterms:modified xsi:type="dcterms:W3CDTF">2026-05-23T11:04:02Z</dcterms:modified>
</cp:coreProperties>
</file>